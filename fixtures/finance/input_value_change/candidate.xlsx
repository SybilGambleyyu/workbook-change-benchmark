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Summary" sheetId="3" state="visible" r:id="rId3"/>
    <sheet name="Dashboard" sheetId="4" state="visible" r:id="rId4"/>
  </sheets>
  <definedNames>
    <definedName name="DiscountRate" comment="WCAB synthetic driver">Assumptions!$E$10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2024</t>
        </is>
      </c>
      <c r="C1" t="inlineStr">
        <is>
          <t>2025</t>
        </is>
      </c>
      <c r="D1" t="inlineStr">
        <is>
          <t>2026</t>
        </is>
      </c>
    </row>
    <row r="2">
      <c r="A2" t="inlineStr">
        <is>
          <t>Units</t>
        </is>
      </c>
      <c r="B2" t="n">
        <v>100</v>
      </c>
      <c r="C2" t="n">
        <v>140</v>
      </c>
      <c r="D2" t="n">
        <v>130</v>
      </c>
    </row>
    <row r="3">
      <c r="A3" t="inlineStr">
        <is>
          <t>Price</t>
        </is>
      </c>
      <c r="B3" t="n">
        <v>8.5</v>
      </c>
      <c r="C3" t="n">
        <v>8.699999999999999</v>
      </c>
      <c r="D3" t="n">
        <v>9</v>
      </c>
    </row>
    <row r="4">
      <c r="A4" t="inlineStr">
        <is>
          <t>Cost per unit</t>
        </is>
      </c>
      <c r="B4" t="n">
        <v>3.2</v>
      </c>
      <c r="C4" t="n">
        <v>3.4</v>
      </c>
      <c r="D4" t="n">
        <v>3.5</v>
      </c>
    </row>
    <row r="10">
      <c r="B10" t="inlineStr">
        <is>
          <t>Discount rate</t>
        </is>
      </c>
      <c r="E10" t="n">
        <v>0.1</v>
      </c>
    </row>
    <row r="11">
      <c r="B11" t="inlineStr">
        <is>
          <t>Stress discount rate</t>
        </is>
      </c>
      <c r="E11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2024</t>
        </is>
      </c>
      <c r="C1" t="inlineStr">
        <is>
          <t>2025</t>
        </is>
      </c>
      <c r="D1" t="inlineStr">
        <is>
          <t>2026</t>
        </is>
      </c>
    </row>
    <row r="5">
      <c r="A5" t="inlineStr">
        <is>
          <t>Units</t>
        </is>
      </c>
      <c r="B5">
        <f>Assumptions!B2</f>
        <v/>
      </c>
      <c r="C5">
        <f>Assumptions!C2</f>
        <v/>
      </c>
      <c r="D5">
        <f>Assumptions!D2</f>
        <v/>
      </c>
    </row>
    <row r="6">
      <c r="A6" t="inlineStr">
        <is>
          <t>Price</t>
        </is>
      </c>
      <c r="B6">
        <f>Assumptions!B3</f>
        <v/>
      </c>
      <c r="C6">
        <f>Assumptions!C3</f>
        <v/>
      </c>
      <c r="D6">
        <f>Assumptions!D3</f>
        <v/>
      </c>
    </row>
    <row r="8">
      <c r="A8" t="inlineStr">
        <is>
          <t>Revenue</t>
        </is>
      </c>
      <c r="B8">
        <f>B5*B6</f>
        <v/>
      </c>
      <c r="C8">
        <f>C5*C6</f>
        <v/>
      </c>
      <c r="D8">
        <f>D5*D6</f>
        <v/>
      </c>
    </row>
    <row r="9">
      <c r="A9" t="inlineStr">
        <is>
          <t>Cost of goods</t>
        </is>
      </c>
      <c r="B9">
        <f>B5*Assumptions!B4</f>
        <v/>
      </c>
      <c r="C9">
        <f>C5*Assumptions!C4</f>
        <v/>
      </c>
      <c r="D9">
        <f>D5*Assumptions!D4</f>
        <v/>
      </c>
    </row>
    <row r="10">
      <c r="A10" t="inlineStr">
        <is>
          <t>Gross profit</t>
        </is>
      </c>
      <c r="B10">
        <f>B8-B9</f>
        <v/>
      </c>
      <c r="C10">
        <f>C8-C9</f>
        <v/>
      </c>
      <c r="D10">
        <f>D8-D9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2024</t>
        </is>
      </c>
      <c r="C1" t="inlineStr">
        <is>
          <t>2025</t>
        </is>
      </c>
      <c r="D1" t="inlineStr">
        <is>
          <t>2026</t>
        </is>
      </c>
    </row>
    <row r="5">
      <c r="A5" t="inlineStr">
        <is>
          <t>Revenue</t>
        </is>
      </c>
      <c r="B5">
        <f>Revenue!B8</f>
        <v/>
      </c>
      <c r="C5">
        <f>Revenue!C8</f>
        <v/>
      </c>
      <c r="D5">
        <f>Revenue!D8</f>
        <v/>
      </c>
    </row>
    <row r="6">
      <c r="A6" t="inlineStr">
        <is>
          <t>Gross profit</t>
        </is>
      </c>
      <c r="B6">
        <f>Revenue!B10</f>
        <v/>
      </c>
      <c r="C6">
        <f>Revenue!C10</f>
        <v/>
      </c>
      <c r="D6">
        <f>Revenue!D10</f>
        <v/>
      </c>
    </row>
    <row r="8">
      <c r="A8" t="inlineStr">
        <is>
          <t>Units source</t>
        </is>
      </c>
      <c r="B8">
        <f>Assumptions!B2</f>
        <v/>
      </c>
      <c r="C8">
        <f>Assumptions!C2</f>
        <v/>
      </c>
      <c r="D8">
        <f>Assumptions!D2</f>
        <v/>
      </c>
    </row>
    <row r="10">
      <c r="A10" t="inlineStr">
        <is>
          <t>Discounted gross profit</t>
        </is>
      </c>
      <c r="B10">
        <f>B6*(1-DiscountRate)</f>
        <v/>
      </c>
      <c r="C10">
        <f>C6*(1-DiscountRate)</f>
        <v/>
      </c>
      <c r="D10">
        <f>D6*(1-DiscountRate)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dashboard</t>
        </is>
      </c>
    </row>
    <row r="4">
      <c r="A4" t="inlineStr">
        <is>
          <t>2025 gross profit</t>
        </is>
      </c>
      <c r="B4">
        <f>Summary!C6</f>
        <v/>
      </c>
    </row>
    <row r="5">
      <c r="A5" t="inlineStr">
        <is>
          <t>2025 discounted gross profit</t>
        </is>
      </c>
      <c r="B5">
        <f>Summary!C10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finance forecast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